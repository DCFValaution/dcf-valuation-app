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DCF model</author>
  </authors>
  <commentList>
    <comment ref="B16" authorId="0">
      <text>
        <r>
          <rPr>
            <sz val="10"/>
            <rFont val="Arial"/>
            <family val="2"/>
          </rPr>
          <t xml:space="preserve">Source: Apple FY2025 10-K, total net sales, FYE 9/27/2025.</t>
        </r>
      </text>
    </comment>
    <comment ref="B17" authorId="0">
      <text>
        <r>
          <rPr>
            <sz val="10"/>
            <rFont val="Arial"/>
            <family val="2"/>
          </rPr>
          <t xml:space="preserve">Source: Apple FY2025 balance sheet. Current term debt 12,350 + non-current term debt 78,328 + commercial paper 7,979.</t>
        </r>
      </text>
    </comment>
    <comment ref="B18" authorId="0">
      <text>
        <r>
          <rPr>
            <sz val="10"/>
            <rFont val="Arial"/>
            <family val="2"/>
          </rPr>
          <t xml:space="preserve">Source: Apple FY2025 balance sheet. Cash 35,934 + current mkt sec 18,763 + non-current mkt sec 77,723.</t>
        </r>
      </text>
    </comment>
    <comment ref="B19" authorId="0">
      <text>
        <r>
          <rPr>
            <sz val="10"/>
            <rFont val="Arial"/>
            <family val="2"/>
          </rPr>
          <t xml:space="preserve">Source: Apple FY2025 balance sheet, shares issued &amp; outstanding at 9/27/2025 (14,773,260 thousand).</t>
        </r>
      </text>
    </comment>
    <comment ref="B20" authorId="0">
      <text>
        <r>
          <rPr>
            <sz val="10"/>
            <rFont val="Arial"/>
            <family val="2"/>
          </rPr>
          <t xml:space="preserve">Source: AAPL close 6/15/2026.</t>
        </r>
      </text>
    </comment>
  </commentList>
</comments>
</file>

<file path=xl/sharedStrings.xml><?xml version="1.0" encoding="utf-8"?>
<sst xmlns="http://schemas.openxmlformats.org/spreadsheetml/2006/main" count="55" uniqueCount="54">
  <si>
    <t xml:space="preserve">Apple Inc. (AAPL)  -  Discounted Cash Flow (DCF) Valuation</t>
  </si>
  <si>
    <t xml:space="preserve">$ in millions except per-share data.  Base year: FY2025 (fiscal year ended September 27, 2025).  Edit the highlighted input cells to update the entire model.</t>
  </si>
  <si>
    <t xml:space="preserve">1.  ASSUMPTIONS  (blue cells are editable inputs)</t>
  </si>
  <si>
    <t xml:space="preserve">Projection period (years)</t>
  </si>
  <si>
    <t xml:space="preserve">Revenue growth rate (per year)</t>
  </si>
  <si>
    <t xml:space="preserve">Operating margin (EBIT % of revenue)</t>
  </si>
  <si>
    <t xml:space="preserve">Tax rate</t>
  </si>
  <si>
    <t xml:space="preserve">Depreciation &amp; amortization (% of revenue)</t>
  </si>
  <si>
    <t xml:space="preserve">Capital expenditures (% of revenue)</t>
  </si>
  <si>
    <t xml:space="preserve">Change in net working capital (% of revenue growth)</t>
  </si>
  <si>
    <t xml:space="preserve">WACC (discount rate)</t>
  </si>
  <si>
    <t xml:space="preserve">Terminal growth rate (g)</t>
  </si>
  <si>
    <t xml:space="preserve">2.  BASE-YEAR DATA &amp; MARKET  (FY2025 actuals)</t>
  </si>
  <si>
    <t xml:space="preserve">Revenue - FY2025 ($mm)</t>
  </si>
  <si>
    <t xml:space="preserve">Total debt ($mm)</t>
  </si>
  <si>
    <t xml:space="preserve">Cash &amp; marketable securities ($mm)</t>
  </si>
  <si>
    <t xml:space="preserve">Shares outstanding (millions)</t>
  </si>
  <si>
    <t xml:space="preserve">Current share price ($)</t>
  </si>
  <si>
    <t xml:space="preserve">3.  UNLEVERED FREE CASH FLOW PROJECTION ($mm)</t>
  </si>
  <si>
    <t xml:space="preserve">Line item ($mm)</t>
  </si>
  <si>
    <t xml:space="preserve">FY2025 (Base)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</si>
  <si>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</si>
  <si>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</si>
  <si>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</si>
  <si>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</si>
  <si>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</si>
  <si>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Period (t)</t>
  </si>
  <si>
    <t xml:space="preserve">Revenue</t>
  </si>
  <si>
    <t xml:space="preserve">   Revenue growth %</t>
  </si>
  <si>
    <t xml:space="preserve">Operating income (EBIT)</t>
  </si>
  <si>
    <t xml:space="preserve">   Less: taxes on EBIT</t>
  </si>
  <si>
    <t xml:space="preserve">NOPAT (EBIT after tax)</t>
  </si>
  <si>
    <t xml:space="preserve">   Plus: depreciation &amp; amortization</t>
  </si>
  <si>
    <t xml:space="preserve">   Less: capital expenditures</t>
  </si>
  <si>
    <t xml:space="preserve">   Less: change in net working capital</t>
  </si>
  <si>
    <t xml:space="preserve">Unlevered free cash flow</t>
  </si>
  <si>
    <t xml:space="preserve">Discount factor @ WACC</t>
  </si>
  <si>
    <t xml:space="preserve">PV of unlevered FCF</t>
  </si>
  <si>
    <t xml:space="preserve">4.  ENTERPRISE &amp; EQUITY VALUE</t>
  </si>
  <si>
    <t xml:space="preserve">Sum of PV of explicit UFCF (FY26-FY30)</t>
  </si>
  <si>
    <t xml:space="preserve">Terminal value at end of FY2030 (Gordon growth)</t>
  </si>
  <si>
    <t xml:space="preserve">PV of terminal value</t>
  </si>
  <si>
    <t xml:space="preserve">Enterprise value</t>
  </si>
  <si>
    <t xml:space="preserve">   Plus: cash &amp; marketable securities</t>
  </si>
  <si>
    <t xml:space="preserve">   Less: total debt</t>
  </si>
  <si>
    <t xml:space="preserve">Equity value</t>
  </si>
  <si>
    <t xml:space="preserve">Intrinsic value per share</t>
  </si>
  <si>
    <t xml:space="preserve">Current share price</t>
  </si>
  <si>
    <t xml:space="preserve">Implied upside / (downside)</t>
  </si>
  <si>
    <t xml:space="preserve">Terminal value as % of enterprise value</t>
  </si>
  <si>
    <t xml:space="preserve">5.  SENSITIVITY - Intrinsic Value per Share ($)</t>
  </si>
  <si>
    <t xml:space="preserve">Rows = WACC   |   Columns = terminal growth rate (g)</t>
  </si>
  <si>
    <t xml:space="preserve">WACC \ g</t>
  </si>
  <si>
    <t xml:space="preserve">Notes: Unlevered FCF = NOPAT + D&amp;A - Capex - change in NWC. Terminal value uses Gordon growth: TVn = FCFn x (1+g)/(WACC-g), discounted at the year-5 factor. Equity value = Enterprise value + cash &amp; marketable securities - total debt. Base-case sensitivity cell (WACC 8.5%, g 3.0%) is highlighted.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</si>
</sst>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#,##0;\(#,##0\)"/>
    <numFmt numFmtId="168" formatCode="#,##0.0"/>
    <numFmt numFmtId="169" formatCode="\$#,##0.00"/>
    <numFmt numFmtId="170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  <col collapsed="false" customWidth="true" hidden="false" outlineLevel="0" max="8" min="8" style="0" width="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</v>
      </c>
    </row>
    <row r="6" customFormat="false" ht="15" hidden="false" customHeight="false" outlineLevel="0" collapsed="false">
      <c r="A6" s="4" t="s">
        <v>4</v>
      </c>
      <c r="B6" s="6" t="n">
        <v>0.06</v>
      </c>
    </row>
    <row r="7" customFormat="false" ht="15" hidden="false" customHeight="false" outlineLevel="0" collapsed="false">
      <c r="A7" s="4" t="s">
        <v>5</v>
      </c>
      <c r="B7" s="6" t="n">
        <v>0.32</v>
      </c>
    </row>
    <row r="8" customFormat="false" ht="15" hidden="false" customHeight="false" outlineLevel="0" collapsed="false">
      <c r="A8" s="4" t="s">
        <v>6</v>
      </c>
      <c r="B8" s="6" t="n">
        <v>0.16</v>
      </c>
    </row>
    <row r="9" customFormat="false" ht="15" hidden="false" customHeight="false" outlineLevel="0" collapsed="false">
      <c r="A9" s="4" t="s">
        <v>7</v>
      </c>
      <c r="B9" s="6" t="n">
        <v>0.028</v>
      </c>
    </row>
    <row r="10" customFormat="false" ht="15" hidden="false" customHeight="false" outlineLevel="0" collapsed="false">
      <c r="A10" s="4" t="s">
        <v>8</v>
      </c>
      <c r="B10" s="6" t="n">
        <v>0.031</v>
      </c>
    </row>
    <row r="11" customFormat="false" ht="15" hidden="false" customHeight="false" outlineLevel="0" collapsed="false">
      <c r="A11" s="4" t="s">
        <v>9</v>
      </c>
      <c r="B11" s="6" t="n">
        <v>0.03</v>
      </c>
    </row>
    <row r="12" customFormat="false" ht="15" hidden="false" customHeight="false" outlineLevel="0" collapsed="false">
      <c r="A12" s="4" t="s">
        <v>10</v>
      </c>
      <c r="B12" s="6" t="n">
        <v>0.085</v>
      </c>
    </row>
    <row r="13" customFormat="false" ht="15" hidden="false" customHeight="false" outlineLevel="0" collapsed="false">
      <c r="A13" s="4" t="s">
        <v>11</v>
      </c>
      <c r="B13" s="6" t="n">
        <v>0.03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4" t="s">
        <v>13</v>
      </c>
      <c r="B16" s="7" t="n">
        <v>416161</v>
      </c>
    </row>
    <row r="17" customFormat="false" ht="15" hidden="false" customHeight="false" outlineLevel="0" collapsed="false">
      <c r="A17" s="4" t="s">
        <v>14</v>
      </c>
      <c r="B17" s="7" t="n">
        <v>98657</v>
      </c>
    </row>
    <row r="18" customFormat="false" ht="15" hidden="false" customHeight="false" outlineLevel="0" collapsed="false">
      <c r="A18" s="4" t="s">
        <v>15</v>
      </c>
      <c r="B18" s="7" t="n">
        <v>132420</v>
      </c>
    </row>
    <row r="19" customFormat="false" ht="15" hidden="false" customHeight="false" outlineLevel="0" collapsed="false">
      <c r="A19" s="4" t="s">
        <v>16</v>
      </c>
      <c r="B19" s="8" t="n">
        <v>14773.26</v>
      </c>
    </row>
    <row r="20" customFormat="false" ht="15" hidden="false" customHeight="false" outlineLevel="0" collapsed="false">
      <c r="A20" s="4" t="s">
        <v>17</v>
      </c>
      <c r="B20" s="9" t="n">
        <v>296.42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10" t="s">
        <v>19</v>
      </c>
      <c r="B23" s="11" t="s">
        <v>20</v>
      </c>
      <c r="C23" s="11" t="s">
        <v>21</v>
      </c>
      <c r="D23" s="11" t="s">
        <v>22</v>
      </c>
      <c r="E23" s="11" t="s">
        <v>23</v>
      </c>
      <c r="F23" s="11" t="s">
        <v>24</v>
      </c>
      <c r="G23" s="11" t="s">
        <v>25</v>
      </c>
    </row>
    <row r="24" customFormat="false" ht="15" hidden="false" customHeight="false" outlineLevel="0" collapsed="false">
      <c r="A24" s="4" t="s">
        <v>26</v>
      </c>
      <c r="C24" s="12" t="n">
        <v>1</v>
      </c>
      <c r="D24" s="12" t="n">
        <v>2</v>
      </c>
      <c r="E24" s="12" t="n">
        <v>3</v>
      </c>
      <c r="F24" s="12" t="n">
        <v>4</v>
      </c>
      <c r="G24" s="12" t="n">
        <v>5</v>
      </c>
    </row>
    <row r="25" customFormat="false" ht="15" hidden="false" customHeight="false" outlineLevel="0" collapsed="false">
      <c r="A25" s="4" t="s">
        <v>27</v>
      </c>
      <c r="B25" s="13" t="n">
        <f aca="false">B16</f>
        <v>416161</v>
      </c>
      <c r="C25" s="13" t="n">
        <f aca="false">B25*(1+$B$6)</f>
        <v>441130.66</v>
      </c>
      <c r="D25" s="13" t="n">
        <f aca="false">C25*(1+$B$6)</f>
        <v>467598.4996</v>
      </c>
      <c r="E25" s="13" t="n">
        <f aca="false">D25*(1+$B$6)</f>
        <v>495654.409576</v>
      </c>
      <c r="F25" s="13" t="n">
        <f aca="false">E25*(1+$B$6)</f>
        <v>525393.67415056</v>
      </c>
      <c r="G25" s="13" t="n">
        <f aca="false">F25*(1+$B$6)</f>
        <v>556917.294599594</v>
      </c>
    </row>
    <row r="26" customFormat="false" ht="15" hidden="false" customHeight="false" outlineLevel="0" collapsed="false">
      <c r="A26" s="14" t="s">
        <v>28</v>
      </c>
      <c r="C26" s="15" t="n">
        <f aca="false">C25/B25-1</f>
        <v>0.0600000000000001</v>
      </c>
      <c r="D26" s="15" t="n">
        <f aca="false">D25/C25-1</f>
        <v>0.0600000000000001</v>
      </c>
      <c r="E26" s="15" t="n">
        <f aca="false">E25/D25-1</f>
        <v>0.0600000000000001</v>
      </c>
      <c r="F26" s="15" t="n">
        <f aca="false">F25/E25-1</f>
        <v>0.0600000000000001</v>
      </c>
      <c r="G26" s="15" t="n">
        <f aca="false">G25/F25-1</f>
        <v>0.0600000000000001</v>
      </c>
    </row>
    <row r="27" customFormat="false" ht="15" hidden="false" customHeight="false" outlineLevel="0" collapsed="false">
      <c r="A27" s="4" t="s">
        <v>29</v>
      </c>
      <c r="B27" s="13" t="n">
        <f aca="false">B25*$B$7</f>
        <v>133171.52</v>
      </c>
      <c r="C27" s="13" t="n">
        <f aca="false">C25*$B$7</f>
        <v>141161.8112</v>
      </c>
      <c r="D27" s="13" t="n">
        <f aca="false">D25*$B$7</f>
        <v>149631.519872</v>
      </c>
      <c r="E27" s="13" t="n">
        <f aca="false">E25*$B$7</f>
        <v>158609.41106432</v>
      </c>
      <c r="F27" s="13" t="n">
        <f aca="false">F25*$B$7</f>
        <v>168125.975728179</v>
      </c>
      <c r="G27" s="13" t="n">
        <f aca="false">G25*$B$7</f>
        <v>178213.53427187</v>
      </c>
    </row>
    <row r="28" customFormat="false" ht="15" hidden="false" customHeight="false" outlineLevel="0" collapsed="false">
      <c r="A28" s="4" t="s">
        <v>30</v>
      </c>
      <c r="B28" s="13" t="n">
        <f aca="false">-B27*$B$8</f>
        <v>-21307.4432</v>
      </c>
      <c r="C28" s="13" t="n">
        <f aca="false">-C27*$B$8</f>
        <v>-22585.889792</v>
      </c>
      <c r="D28" s="13" t="n">
        <f aca="false">-D27*$B$8</f>
        <v>-23941.04317952</v>
      </c>
      <c r="E28" s="13" t="n">
        <f aca="false">-E27*$B$8</f>
        <v>-25377.5057702912</v>
      </c>
      <c r="F28" s="13" t="n">
        <f aca="false">-F27*$B$8</f>
        <v>-26900.1561165087</v>
      </c>
      <c r="G28" s="13" t="n">
        <f aca="false">-G27*$B$8</f>
        <v>-28514.1654834992</v>
      </c>
    </row>
    <row r="29" customFormat="false" ht="15" hidden="false" customHeight="false" outlineLevel="0" collapsed="false">
      <c r="A29" s="16" t="s">
        <v>31</v>
      </c>
      <c r="B29" s="17" t="n">
        <f aca="false">B27+B28</f>
        <v>111864.0768</v>
      </c>
      <c r="C29" s="17" t="n">
        <f aca="false">C27+C28</f>
        <v>118575.921408</v>
      </c>
      <c r="D29" s="17" t="n">
        <f aca="false">D27+D28</f>
        <v>125690.47669248</v>
      </c>
      <c r="E29" s="17" t="n">
        <f aca="false">E27+E28</f>
        <v>133231.905294029</v>
      </c>
      <c r="F29" s="17" t="n">
        <f aca="false">F27+F28</f>
        <v>141225.819611671</v>
      </c>
      <c r="G29" s="17" t="n">
        <f aca="false">G27+G28</f>
        <v>149699.368788371</v>
      </c>
    </row>
    <row r="30" customFormat="false" ht="15" hidden="false" customHeight="false" outlineLevel="0" collapsed="false">
      <c r="A30" s="4" t="s">
        <v>32</v>
      </c>
      <c r="B30" s="13" t="n">
        <f aca="false">B25*$B$9</f>
        <v>11652.508</v>
      </c>
      <c r="C30" s="13" t="n">
        <f aca="false">C25*$B$9</f>
        <v>12351.65848</v>
      </c>
      <c r="D30" s="13" t="n">
        <f aca="false">D25*$B$9</f>
        <v>13092.7579888</v>
      </c>
      <c r="E30" s="13" t="n">
        <f aca="false">E25*$B$9</f>
        <v>13878.323468128</v>
      </c>
      <c r="F30" s="13" t="n">
        <f aca="false">F25*$B$9</f>
        <v>14711.0228762157</v>
      </c>
      <c r="G30" s="13" t="n">
        <f aca="false">G25*$B$9</f>
        <v>15593.6842487886</v>
      </c>
    </row>
    <row r="31" customFormat="false" ht="15" hidden="false" customHeight="false" outlineLevel="0" collapsed="false">
      <c r="A31" s="4" t="s">
        <v>33</v>
      </c>
      <c r="B31" s="13" t="n">
        <f aca="false">-B25*$B$10</f>
        <v>-12900.991</v>
      </c>
      <c r="C31" s="13" t="n">
        <f aca="false">-C25*$B$10</f>
        <v>-13675.05046</v>
      </c>
      <c r="D31" s="13" t="n">
        <f aca="false">-D25*$B$10</f>
        <v>-14495.5534876</v>
      </c>
      <c r="E31" s="13" t="n">
        <f aca="false">-E25*$B$10</f>
        <v>-15365.286696856</v>
      </c>
      <c r="F31" s="13" t="n">
        <f aca="false">-F25*$B$10</f>
        <v>-16287.2038986674</v>
      </c>
      <c r="G31" s="13" t="n">
        <f aca="false">-G25*$B$10</f>
        <v>-17264.4361325874</v>
      </c>
    </row>
    <row r="32" customFormat="false" ht="15" hidden="false" customHeight="false" outlineLevel="0" collapsed="false">
      <c r="A32" s="4" t="s">
        <v>34</v>
      </c>
      <c r="B32" s="13" t="n">
        <f aca="false">0</f>
        <v>0</v>
      </c>
      <c r="C32" s="13" t="n">
        <f aca="false">-(C25-B25)*$B$11</f>
        <v>-749.089800000001</v>
      </c>
      <c r="D32" s="13" t="n">
        <f aca="false">-(D25-C25)*$B$11</f>
        <v>-794.035188</v>
      </c>
      <c r="E32" s="13" t="n">
        <f aca="false">-(E25-D25)*$B$11</f>
        <v>-841.677299280001</v>
      </c>
      <c r="F32" s="13" t="n">
        <f aca="false">-(F25-E25)*$B$11</f>
        <v>-892.1779372368</v>
      </c>
      <c r="G32" s="13" t="n">
        <f aca="false">-(G25-F25)*$B$11</f>
        <v>-945.70861347101</v>
      </c>
    </row>
    <row r="33" customFormat="false" ht="15" hidden="false" customHeight="false" outlineLevel="0" collapsed="false">
      <c r="A33" s="16" t="s">
        <v>35</v>
      </c>
      <c r="B33" s="18" t="n">
        <f aca="false">B29+B30+B31+B32</f>
        <v>110615.5938</v>
      </c>
      <c r="C33" s="18" t="n">
        <f aca="false">C29+C30+C31+C32</f>
        <v>116503.439628</v>
      </c>
      <c r="D33" s="18" t="n">
        <f aca="false">D29+D30+D31+D32</f>
        <v>123493.64600568</v>
      </c>
      <c r="E33" s="18" t="n">
        <f aca="false">E29+E30+E31+E32</f>
        <v>130903.264766021</v>
      </c>
      <c r="F33" s="18" t="n">
        <f aca="false">F29+F30+F31+F32</f>
        <v>138757.460651982</v>
      </c>
      <c r="G33" s="18" t="n">
        <f aca="false">G29+G30+G31+G32</f>
        <v>147082.908291101</v>
      </c>
    </row>
    <row r="34" customFormat="false" ht="15" hidden="false" customHeight="false" outlineLevel="0" collapsed="false">
      <c r="A34" s="14" t="s">
        <v>36</v>
      </c>
      <c r="C34" s="19" t="n">
        <f aca="false">1/(1+$B$12)^C24</f>
        <v>0.921658986175115</v>
      </c>
      <c r="D34" s="19" t="n">
        <f aca="false">1/(1+$B$12)^D24</f>
        <v>0.849455286797341</v>
      </c>
      <c r="E34" s="19" t="n">
        <f aca="false">1/(1+$B$12)^E24</f>
        <v>0.782908098430729</v>
      </c>
      <c r="F34" s="19" t="n">
        <f aca="false">1/(1+$B$12)^F24</f>
        <v>0.721574284267953</v>
      </c>
      <c r="G34" s="19" t="n">
        <f aca="false">1/(1+$B$12)^G24</f>
        <v>0.665045423288436</v>
      </c>
    </row>
    <row r="35" customFormat="false" ht="15" hidden="false" customHeight="false" outlineLevel="0" collapsed="false">
      <c r="A35" s="16" t="s">
        <v>37</v>
      </c>
      <c r="C35" s="17" t="n">
        <f aca="false">C33*C34</f>
        <v>107376.442053456</v>
      </c>
      <c r="D35" s="17" t="n">
        <f aca="false">D33*D34</f>
        <v>104902.330485404</v>
      </c>
      <c r="E35" s="17" t="n">
        <f aca="false">E33*E34</f>
        <v>102485.22609634</v>
      </c>
      <c r="F35" s="17" t="n">
        <f aca="false">F33*F34</f>
        <v>100123.815356793</v>
      </c>
      <c r="G35" s="17" t="n">
        <f aca="false">G33*G34</f>
        <v>97816.8150029495</v>
      </c>
    </row>
    <row r="37" customFormat="false" ht="15" hidden="false" customHeight="false" outlineLevel="0" collapsed="false">
      <c r="A37" s="3" t="s">
        <v>38</v>
      </c>
    </row>
    <row r="38" customFormat="false" ht="15" hidden="false" customHeight="false" outlineLevel="0" collapsed="false">
      <c r="A38" s="4" t="s">
        <v>39</v>
      </c>
      <c r="B38" s="20" t="n">
        <f aca="false">SUM(C35:G35)</f>
        <v>512704.628994942</v>
      </c>
    </row>
    <row r="39" customFormat="false" ht="15" hidden="false" customHeight="false" outlineLevel="0" collapsed="false">
      <c r="A39" s="4" t="s">
        <v>40</v>
      </c>
      <c r="B39" s="20" t="n">
        <f aca="false">G33*(1+$B$13)/($B$12-$B$13)</f>
        <v>2754461.73708789</v>
      </c>
    </row>
    <row r="40" customFormat="false" ht="15" hidden="false" customHeight="false" outlineLevel="0" collapsed="false">
      <c r="A40" s="4" t="s">
        <v>41</v>
      </c>
      <c r="B40" s="20" t="n">
        <f aca="false">B39*G34</f>
        <v>1831842.17187342</v>
      </c>
    </row>
    <row r="41" customFormat="false" ht="15" hidden="false" customHeight="false" outlineLevel="0" collapsed="false">
      <c r="A41" s="16" t="s">
        <v>42</v>
      </c>
      <c r="B41" s="21" t="n">
        <f aca="false">B38+B40</f>
        <v>2344546.80086836</v>
      </c>
    </row>
    <row r="42" customFormat="false" ht="15" hidden="false" customHeight="false" outlineLevel="0" collapsed="false">
      <c r="A42" s="4" t="s">
        <v>43</v>
      </c>
      <c r="B42" s="20" t="n">
        <f aca="false">B18</f>
        <v>132420</v>
      </c>
    </row>
    <row r="43" customFormat="false" ht="15" hidden="false" customHeight="false" outlineLevel="0" collapsed="false">
      <c r="A43" s="4" t="s">
        <v>44</v>
      </c>
      <c r="B43" s="20" t="n">
        <f aca="false">-B17</f>
        <v>-98657</v>
      </c>
    </row>
    <row r="44" customFormat="false" ht="15" hidden="false" customHeight="false" outlineLevel="0" collapsed="false">
      <c r="A44" s="16" t="s">
        <v>45</v>
      </c>
      <c r="B44" s="21" t="n">
        <f aca="false">B41+B42+B43</f>
        <v>2378309.80086836</v>
      </c>
    </row>
    <row r="45" customFormat="false" ht="15" hidden="false" customHeight="false" outlineLevel="0" collapsed="false">
      <c r="A45" s="4" t="s">
        <v>16</v>
      </c>
      <c r="B45" s="22" t="n">
        <f aca="false">B19</f>
        <v>14773.26</v>
      </c>
    </row>
    <row r="46" customFormat="false" ht="15" hidden="false" customHeight="false" outlineLevel="0" collapsed="false">
      <c r="A46" s="16" t="s">
        <v>46</v>
      </c>
      <c r="B46" s="23" t="n">
        <f aca="false">B44/B45</f>
        <v>160.987473372049</v>
      </c>
    </row>
    <row r="47" customFormat="false" ht="15" hidden="false" customHeight="false" outlineLevel="0" collapsed="false">
      <c r="A47" s="4" t="s">
        <v>47</v>
      </c>
      <c r="B47" s="24" t="n">
        <f aca="false">B20</f>
        <v>296.42</v>
      </c>
    </row>
    <row r="48" customFormat="false" ht="15" hidden="false" customHeight="false" outlineLevel="0" collapsed="false">
      <c r="A48" s="16" t="s">
        <v>48</v>
      </c>
      <c r="B48" s="25" t="n">
        <f aca="false">B46/B47-1</f>
        <v>-0.456894024114266</v>
      </c>
    </row>
    <row r="49" customFormat="false" ht="15" hidden="false" customHeight="false" outlineLevel="0" collapsed="false">
      <c r="A49" s="4" t="s">
        <v>49</v>
      </c>
      <c r="B49" s="26" t="n">
        <f aca="false">B40/B41</f>
        <v>0.78132036911993</v>
      </c>
    </row>
    <row r="51" customFormat="false" ht="15" hidden="false" customHeight="false" outlineLevel="0" collapsed="false">
      <c r="A51" s="3" t="s">
        <v>50</v>
      </c>
    </row>
    <row r="52" customFormat="false" ht="15" hidden="false" customHeight="false" outlineLevel="0" collapsed="false">
      <c r="A52" s="14" t="s">
        <v>51</v>
      </c>
    </row>
    <row r="53" customFormat="false" ht="15" hidden="false" customHeight="false" outlineLevel="0" collapsed="false">
      <c r="B53" s="27" t="s">
        <v>52</v>
      </c>
      <c r="C53" s="28" t="n">
        <v>0.02</v>
      </c>
      <c r="D53" s="28" t="n">
        <v>0.025</v>
      </c>
      <c r="E53" s="28" t="n">
        <v>0.03</v>
      </c>
      <c r="F53" s="28" t="n">
        <v>0.035</v>
      </c>
      <c r="G53" s="28" t="n">
        <v>0.04</v>
      </c>
    </row>
    <row r="54" customFormat="false" ht="15" hidden="false" customHeight="false" outlineLevel="0" collapsed="false">
      <c r="B54" s="28" t="n">
        <v>0.075</v>
      </c>
      <c r="C54" s="29" t="n">
        <f aca="false">(($C$33/(1+$B$54)^1+$D$33/(1+$B$54)^2+$E$33/(1+$B$54)^3+$F$33/(1+$B$54)^4+$G$33/(1+$B$54)^5+($G$33*(1+C$53)/($B$54-C$53))/(1+$B$54)^5)+$B$18-$B$17)/$B$19</f>
        <v>166.567389718578</v>
      </c>
      <c r="D54" s="29" t="n">
        <f aca="false">(($C$33/(1+$B$54)^1+$D$33/(1+$B$54)^2+$E$33/(1+$B$54)^3+$F$33/(1+$B$54)^4+$G$33/(1+$B$54)^5+($G$33*(1+D$53)/($B$54-D$53))/(1+$B$54)^5)+$B$18-$B$17)/$B$19</f>
        <v>180.122071334296</v>
      </c>
      <c r="E54" s="29" t="n">
        <f aca="false">(($C$33/(1+$B$54)^1+$D$33/(1+$B$54)^2+$E$33/(1+$B$54)^3+$F$33/(1+$B$54)^4+$G$33/(1+$B$54)^5+($G$33*(1+E$53)/($B$54-E$53))/(1+$B$54)^5)+$B$18-$B$17)/$B$19</f>
        <v>196.688904420174</v>
      </c>
      <c r="F54" s="29" t="n">
        <f aca="false">(($C$33/(1+$B$54)^1+$D$33/(1+$B$54)^2+$E$33/(1+$B$54)^3+$F$33/(1+$B$54)^4+$G$33/(1+$B$54)^5+($G$33*(1+F$53)/($B$54-F$53))/(1+$B$54)^5)+$B$18-$B$17)/$B$19</f>
        <v>217.397445777522</v>
      </c>
      <c r="G54" s="29" t="n">
        <f aca="false">(($C$33/(1+$B$54)^1+$D$33/(1+$B$54)^2+$E$33/(1+$B$54)^3+$F$33/(1+$B$54)^4+$G$33/(1+$B$54)^5+($G$33*(1+G$53)/($B$54-G$53))/(1+$B$54)^5)+$B$18-$B$17)/$B$19</f>
        <v>244.022713236969</v>
      </c>
    </row>
    <row r="55" customFormat="false" ht="15" hidden="false" customHeight="false" outlineLevel="0" collapsed="false">
      <c r="B55" s="28" t="n">
        <v>0.08</v>
      </c>
      <c r="C55" s="29" t="n">
        <f aca="false">(($C$33/(1+$B$55)^1+$D$33/(1+$B$55)^2+$E$33/(1+$B$55)^3+$F$33/(1+$B$55)^4+$G$33/(1+$B$55)^5+($G$33*(1+C$53)/($B$55-C$53))/(1+$B$55)^5)+$B$18-$B$17)/$B$19</f>
        <v>152.658070531753</v>
      </c>
      <c r="D55" s="29" t="n">
        <f aca="false">(($C$33/(1+$B$55)^1+$D$33/(1+$B$55)^2+$E$33/(1+$B$55)^3+$F$33/(1+$B$55)^4+$G$33/(1+$B$55)^5+($G$33*(1+D$53)/($B$55-D$53))/(1+$B$55)^5)+$B$18-$B$17)/$B$19</f>
        <v>163.745909500563</v>
      </c>
      <c r="E55" s="29" t="n">
        <f aca="false">(($C$33/(1+$B$55)^1+$D$33/(1+$B$55)^2+$E$33/(1+$B$55)^3+$F$33/(1+$B$55)^4+$G$33/(1+$B$55)^5+($G$33*(1+E$53)/($B$55-E$53))/(1+$B$55)^5)+$B$18-$B$17)/$B$19</f>
        <v>177.051316263136</v>
      </c>
      <c r="F55" s="29" t="n">
        <f aca="false">(($C$33/(1+$B$55)^1+$D$33/(1+$B$55)^2+$E$33/(1+$B$55)^3+$F$33/(1+$B$55)^4+$G$33/(1+$B$55)^5+($G$33*(1+F$53)/($B$55-F$53))/(1+$B$55)^5)+$B$18-$B$17)/$B$19</f>
        <v>193.313480084058</v>
      </c>
      <c r="G55" s="29" t="n">
        <f aca="false">(($C$33/(1+$B$55)^1+$D$33/(1+$B$55)^2+$E$33/(1+$B$55)^3+$F$33/(1+$B$55)^4+$G$33/(1+$B$55)^5+($G$33*(1+G$53)/($B$55-G$53))/(1+$B$55)^5)+$B$18-$B$17)/$B$19</f>
        <v>213.64118486021</v>
      </c>
    </row>
    <row r="56" customFormat="false" ht="15" hidden="false" customHeight="false" outlineLevel="0" collapsed="false">
      <c r="B56" s="28" t="n">
        <v>0.085</v>
      </c>
      <c r="C56" s="29" t="n">
        <f aca="false">(($C$33/(1+$B$56)^1+$D$33/(1+$B$56)^2+$E$33/(1+$B$56)^3+$F$33/(1+$B$56)^4+$G$33/(1+$B$56)^5+($G$33*(1+C$53)/($B$56-C$53))/(1+$B$56)^5)+$B$18-$B$17)/$B$19</f>
        <v>140.892341128686</v>
      </c>
      <c r="D56" s="29" t="n">
        <f aca="false">(($C$33/(1+$B$56)^1+$D$33/(1+$B$56)^2+$E$33/(1+$B$56)^3+$F$33/(1+$B$56)^4+$G$33/(1+$B$56)^5+($G$33*(1+D$53)/($B$56-D$53))/(1+$B$56)^5)+$B$18-$B$17)/$B$19</f>
        <v>150.102610073561</v>
      </c>
      <c r="E56" s="30" t="n">
        <f aca="false">(($C$33/(1+$B$56)^1+$D$33/(1+$B$56)^2+$E$33/(1+$B$56)^3+$F$33/(1+$B$56)^4+$G$33/(1+$B$56)^5+($G$33*(1+E$53)/($B$56-E$53))/(1+$B$56)^5)+$B$18-$B$17)/$B$19</f>
        <v>160.987473372049</v>
      </c>
      <c r="F56" s="29" t="n">
        <f aca="false">(($C$33/(1+$B$56)^1+$D$33/(1+$B$56)^2+$E$33/(1+$B$56)^3+$F$33/(1+$B$56)^4+$G$33/(1+$B$56)^5+($G$33*(1+F$53)/($B$56-F$53))/(1+$B$56)^5)+$B$18-$B$17)/$B$19</f>
        <v>174.049309330236</v>
      </c>
      <c r="G56" s="29" t="n">
        <f aca="false">(($C$33/(1+$B$56)^1+$D$33/(1+$B$56)^2+$E$33/(1+$B$56)^3+$F$33/(1+$B$56)^4+$G$33/(1+$B$56)^5+($G$33*(1+G$53)/($B$56-G$53))/(1+$B$56)^5)+$B$18-$B$17)/$B$19</f>
        <v>190.013775501352</v>
      </c>
    </row>
    <row r="57" customFormat="false" ht="15" hidden="false" customHeight="false" outlineLevel="0" collapsed="false">
      <c r="B57" s="28" t="n">
        <v>0.09</v>
      </c>
      <c r="C57" s="29" t="n">
        <f aca="false">(($C$33/(1+$B$57)^1+$D$33/(1+$B$57)^2+$E$33/(1+$B$57)^3+$F$33/(1+$B$57)^4+$G$33/(1+$B$57)^5+($G$33*(1+C$53)/($B$57-C$53))/(1+$B$57)^5)+$B$18-$B$17)/$B$19</f>
        <v>130.81077890703</v>
      </c>
      <c r="D57" s="29" t="n">
        <f aca="false">(($C$33/(1+$B$57)^1+$D$33/(1+$B$57)^2+$E$33/(1+$B$57)^3+$F$33/(1+$B$57)^4+$G$33/(1+$B$57)^5+($G$33*(1+D$53)/($B$57-D$53))/(1+$B$57)^5)+$B$18-$B$17)/$B$19</f>
        <v>138.561435290476</v>
      </c>
      <c r="E57" s="29" t="n">
        <f aca="false">(($C$33/(1+$B$57)^1+$D$33/(1+$B$57)^2+$E$33/(1+$B$57)^3+$F$33/(1+$B$57)^4+$G$33/(1+$B$57)^5+($G$33*(1+E$53)/($B$57-E$53))/(1+$B$57)^5)+$B$18-$B$17)/$B$19</f>
        <v>147.603867737829</v>
      </c>
      <c r="F57" s="29" t="n">
        <f aca="false">(($C$33/(1+$B$57)^1+$D$33/(1+$B$57)^2+$E$33/(1+$B$57)^3+$F$33/(1+$B$57)^4+$G$33/(1+$B$57)^5+($G$33*(1+F$53)/($B$57-F$53))/(1+$B$57)^5)+$B$18-$B$17)/$B$19</f>
        <v>158.290378811974</v>
      </c>
      <c r="G57" s="29" t="n">
        <f aca="false">(($C$33/(1+$B$57)^1+$D$33/(1+$B$57)^2+$E$33/(1+$B$57)^3+$F$33/(1+$B$57)^4+$G$33/(1+$B$57)^5+($G$33*(1+G$53)/($B$57-G$53))/(1+$B$57)^5)+$B$18-$B$17)/$B$19</f>
        <v>171.114192100948</v>
      </c>
    </row>
    <row r="58" customFormat="false" ht="15" hidden="false" customHeight="false" outlineLevel="0" collapsed="false">
      <c r="B58" s="28" t="n">
        <v>0.095</v>
      </c>
      <c r="C58" s="29" t="n">
        <f aca="false">(($C$33/(1+$B$58)^1+$D$33/(1+$B$58)^2+$E$33/(1+$B$58)^3+$F$33/(1+$B$58)^4+$G$33/(1+$B$58)^5+($G$33*(1+C$53)/($B$58-C$53))/(1+$B$58)^5)+$B$18-$B$17)/$B$19</f>
        <v>122.076476175802</v>
      </c>
      <c r="D58" s="29" t="n">
        <f aca="false">(($C$33/(1+$B$58)^1+$D$33/(1+$B$58)^2+$E$33/(1+$B$58)^3+$F$33/(1+$B$58)^4+$G$33/(1+$B$58)^5+($G$33*(1+D$53)/($B$58-D$53))/(1+$B$58)^5)+$B$18-$B$17)/$B$19</f>
        <v>128.671860256687</v>
      </c>
      <c r="E58" s="29" t="n">
        <f aca="false">(($C$33/(1+$B$58)^1+$D$33/(1+$B$58)^2+$E$33/(1+$B$58)^3+$F$33/(1+$B$58)^4+$G$33/(1+$B$58)^5+($G$33*(1+E$53)/($B$58-E$53))/(1+$B$58)^5)+$B$18-$B$17)/$B$19</f>
        <v>136.281918811553</v>
      </c>
      <c r="F58" s="29" t="n">
        <f aca="false">(($C$33/(1+$B$58)^1+$D$33/(1+$B$58)^2+$E$33/(1+$B$58)^3+$F$33/(1+$B$58)^4+$G$33/(1+$B$58)^5+($G$33*(1+F$53)/($B$58-F$53))/(1+$B$58)^5)+$B$18-$B$17)/$B$19</f>
        <v>145.160320458897</v>
      </c>
      <c r="G58" s="29" t="n">
        <f aca="false">(($C$33/(1+$B$58)^1+$D$33/(1+$B$58)^2+$E$33/(1+$B$58)^3+$F$33/(1+$B$58)^4+$G$33/(1+$B$58)^5+($G$33*(1+G$53)/($B$58-G$53))/(1+$B$58)^5)+$B$18-$B$17)/$B$19</f>
        <v>155.652976951213</v>
      </c>
    </row>
    <row r="61" customFormat="false" ht="15" hidden="false" customHeight="true" outlineLevel="0" collapsed="false">
      <c r="A61" s="31" t="s">
        <v>53</v>
      </c>
      <c r="B61" s="31"/>
      <c r="C61" s="31"/>
      <c r="D61" s="31"/>
      <c r="E61" s="31"/>
      <c r="F61" s="31"/>
      <c r="G61" s="31"/>
    </row>
    <row r="62" customFormat="false" ht="15" hidden="false" customHeight="false" outlineLevel="0" collapsed="false">
      <c r="A62" s="31"/>
      <c r="B62" s="31"/>
      <c r="C62" s="31"/>
      <c r="D62" s="31"/>
      <c r="E62" s="31"/>
      <c r="F62" s="31"/>
      <c r="G62" s="31"/>
    </row>
    <row r="63" customFormat="false" ht="15" hidden="false" customHeight="false" outlineLevel="0" collapsed="false">
      <c r="A63" s="31"/>
      <c r="B63" s="31"/>
      <c r="C63" s="31"/>
      <c r="D63" s="31"/>
      <c r="E63" s="31"/>
      <c r="F63" s="31"/>
      <c r="G63" s="31"/>
    </row>
  </sheetData>
  <mergeCells count="3">
    <mergeCell ref="A1:G1"/>
    <mergeCell ref="A2:G2"/>
    <mergeCell ref="A61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2026-06-16T14:36:19Z</dcterms:created>
  <dc:creator>openpyxl</dc:creator>
  <dc:description/>
  <dc:language>en-US</dc:language>
  <cp:lastModifiedBy/>
  <dcterms:modified xsi:type="dcterms:W3CDTF">2026-06-16T14:36:19Z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